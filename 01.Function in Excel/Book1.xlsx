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"/>
    </mc:Choice>
  </mc:AlternateContent>
  <xr:revisionPtr revIDLastSave="0" documentId="13_ncr:1_{93DABDA7-44C3-4E87-A4D3-EDF4343DC832}" xr6:coauthVersionLast="47" xr6:coauthVersionMax="47" xr10:uidLastSave="{00000000-0000-0000-0000-000000000000}"/>
  <bookViews>
    <workbookView xWindow="-120" yWindow="-120" windowWidth="20730" windowHeight="11160" xr2:uid="{BEE05DAF-6D3C-43CE-879A-9CACB45FC509}"/>
  </bookViews>
  <sheets>
    <sheet name="Sheet1" sheetId="1" r:id="rId1"/>
  </sheets>
  <definedNames>
    <definedName name="BAD">Sheet1!$L$71:$L$76</definedName>
    <definedName name="CC">Sheet1!$E$36:$E$48</definedName>
    <definedName name="ORDER">Sheet1!$K$71:$K$76</definedName>
    <definedName name="QTY">Sheet1!$I$71:$I$76</definedName>
    <definedName name="SOLD">Sheet1!$J$71:$J$76</definedName>
    <definedName name="summ">Sheet1!$A$36:$A$40</definedName>
    <definedName name="Test">Sheet1!$A$41</definedName>
    <definedName name="total">Sheet1!$A$36:$A$41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0" i="1" l="1"/>
  <c r="C147" i="1"/>
  <c r="C141" i="1"/>
  <c r="C142" i="1"/>
  <c r="C143" i="1"/>
  <c r="C144" i="1" s="1"/>
  <c r="C145" i="1" s="1"/>
  <c r="C140" i="1"/>
  <c r="B132" i="1"/>
  <c r="B133" i="1"/>
  <c r="B134" i="1"/>
  <c r="B131" i="1"/>
  <c r="E117" i="1"/>
  <c r="C122" i="1"/>
  <c r="C120" i="1"/>
  <c r="C121" i="1"/>
  <c r="C119" i="1"/>
  <c r="C118" i="1"/>
  <c r="C107" i="1"/>
  <c r="C106" i="1"/>
  <c r="C105" i="1"/>
  <c r="C104" i="1"/>
  <c r="C103" i="1"/>
  <c r="C102" i="1"/>
  <c r="C101" i="1"/>
  <c r="H79" i="1"/>
  <c r="K69" i="1"/>
  <c r="L69" i="1"/>
  <c r="J69" i="1"/>
  <c r="H81" i="1"/>
  <c r="H82" i="1"/>
  <c r="J82" i="1"/>
  <c r="N70" i="1"/>
  <c r="J81" i="1"/>
  <c r="J79" i="1"/>
  <c r="J80" i="1"/>
  <c r="D74" i="1"/>
  <c r="E74" i="1" s="1"/>
  <c r="B74" i="1"/>
  <c r="F72" i="1"/>
  <c r="E72" i="1"/>
  <c r="B70" i="1"/>
  <c r="B72" i="1" s="1"/>
  <c r="J55" i="1"/>
  <c r="N65" i="1"/>
  <c r="N64" i="1"/>
  <c r="N63" i="1"/>
  <c r="N62" i="1"/>
  <c r="N61" i="1"/>
  <c r="N60" i="1"/>
  <c r="N59" i="1"/>
  <c r="N58" i="1"/>
  <c r="N57" i="1"/>
  <c r="N56" i="1"/>
  <c r="N55" i="1"/>
  <c r="N54" i="1"/>
  <c r="G63" i="1"/>
  <c r="C57" i="1"/>
  <c r="C55" i="1"/>
  <c r="F41" i="1"/>
  <c r="F39" i="1"/>
  <c r="F37" i="1"/>
  <c r="A41" i="1"/>
  <c r="A43" i="1" s="1"/>
  <c r="J24" i="1"/>
  <c r="J25" i="1"/>
  <c r="J23" i="1"/>
  <c r="F30" i="1"/>
  <c r="F24" i="1"/>
  <c r="F25" i="1"/>
  <c r="F26" i="1"/>
  <c r="F27" i="1"/>
  <c r="F28" i="1"/>
  <c r="F29" i="1"/>
  <c r="F23" i="1"/>
  <c r="N74" i="1"/>
  <c r="C74" i="1" l="1"/>
  <c r="D72" i="1"/>
  <c r="C72" i="1"/>
</calcChain>
</file>

<file path=xl/sharedStrings.xml><?xml version="1.0" encoding="utf-8"?>
<sst xmlns="http://schemas.openxmlformats.org/spreadsheetml/2006/main" count="184" uniqueCount="131">
  <si>
    <t>Rupesh</t>
  </si>
  <si>
    <t>A,B,C</t>
  </si>
  <si>
    <t>S,C,V</t>
  </si>
  <si>
    <t>G,H,Y</t>
  </si>
  <si>
    <t>I,O,Y</t>
  </si>
  <si>
    <t>C</t>
  </si>
  <si>
    <t>V</t>
  </si>
  <si>
    <t>Y</t>
  </si>
  <si>
    <t>FLASH FEEL (आधीच num VARUN NEXT NUM PREDICT KAREL.)</t>
  </si>
  <si>
    <t>Hii</t>
  </si>
  <si>
    <t>Hello</t>
  </si>
  <si>
    <t>&amp;</t>
  </si>
  <si>
    <t>Refeancing</t>
  </si>
  <si>
    <t>ruoes</t>
  </si>
  <si>
    <t>yy</t>
  </si>
  <si>
    <t>Ruppp</t>
  </si>
  <si>
    <t xml:space="preserve">Sum </t>
  </si>
  <si>
    <t>COUNT</t>
  </si>
  <si>
    <t>count</t>
  </si>
  <si>
    <t>countA</t>
  </si>
  <si>
    <t>countIF</t>
  </si>
  <si>
    <t>Date 6</t>
  </si>
  <si>
    <t>Date 5</t>
  </si>
  <si>
    <t>MARKS</t>
  </si>
  <si>
    <t>RESULT</t>
  </si>
  <si>
    <t>if func---&gt;</t>
  </si>
  <si>
    <t>F</t>
  </si>
  <si>
    <t>Good</t>
  </si>
  <si>
    <t>Fail</t>
  </si>
  <si>
    <t>Avg</t>
  </si>
  <si>
    <t>Exxx</t>
  </si>
  <si>
    <t>Nested if</t>
  </si>
  <si>
    <t>MOM</t>
  </si>
  <si>
    <t>AND</t>
  </si>
  <si>
    <t>OR</t>
  </si>
  <si>
    <t>T &amp; T</t>
  </si>
  <si>
    <t>T</t>
  </si>
  <si>
    <t>T &amp;F</t>
  </si>
  <si>
    <t>F &amp; T</t>
  </si>
  <si>
    <t>F &amp;F</t>
  </si>
  <si>
    <t>CONDITION</t>
  </si>
  <si>
    <t>Maths</t>
  </si>
  <si>
    <t>Science</t>
  </si>
  <si>
    <t>Result</t>
  </si>
  <si>
    <t>EROORR</t>
  </si>
  <si>
    <t>TEXT FUNCTIONS</t>
  </si>
  <si>
    <t>UPPER</t>
  </si>
  <si>
    <t>Lower</t>
  </si>
  <si>
    <t>Propper</t>
  </si>
  <si>
    <t>Length</t>
  </si>
  <si>
    <t>Left</t>
  </si>
  <si>
    <t>Right</t>
  </si>
  <si>
    <t>Mid</t>
  </si>
  <si>
    <t>replace</t>
  </si>
  <si>
    <t>Find</t>
  </si>
  <si>
    <t>Search</t>
  </si>
  <si>
    <t>Concat</t>
  </si>
  <si>
    <t>Trim</t>
  </si>
  <si>
    <t>Rupesh Desai</t>
  </si>
  <si>
    <t>case sensetive</t>
  </si>
  <si>
    <t>NOT case sen</t>
  </si>
  <si>
    <t>Student</t>
  </si>
  <si>
    <t>remove more than 1 space</t>
  </si>
  <si>
    <t>R         U   P   S</t>
  </si>
  <si>
    <t>DATE AND TIME</t>
  </si>
  <si>
    <t>date</t>
  </si>
  <si>
    <t>day</t>
  </si>
  <si>
    <t>Year</t>
  </si>
  <si>
    <t>Month</t>
  </si>
  <si>
    <t>Date</t>
  </si>
  <si>
    <t>month name</t>
  </si>
  <si>
    <t>EoMonth</t>
  </si>
  <si>
    <t>Hour</t>
  </si>
  <si>
    <t>Time</t>
  </si>
  <si>
    <t>Second</t>
  </si>
  <si>
    <t>Pass</t>
  </si>
  <si>
    <t>Index--&gt;&gt;</t>
  </si>
  <si>
    <t>Item</t>
  </si>
  <si>
    <t>QTY</t>
  </si>
  <si>
    <t>SOLD</t>
  </si>
  <si>
    <t>ORDER</t>
  </si>
  <si>
    <t>BAD</t>
  </si>
  <si>
    <t>APPLE</t>
  </si>
  <si>
    <t>MANGO</t>
  </si>
  <si>
    <t>PAPAYA</t>
  </si>
  <si>
    <t>BANANA</t>
  </si>
  <si>
    <t>DATES</t>
  </si>
  <si>
    <t>LITCHI</t>
  </si>
  <si>
    <t>MATCH-&gt;</t>
  </si>
  <si>
    <t>dates</t>
  </si>
  <si>
    <t>SELCTED ENTIRE CHART</t>
  </si>
  <si>
    <t>INDIRECT --&gt;&gt;</t>
  </si>
  <si>
    <t>Date 12</t>
  </si>
  <si>
    <t>City Name</t>
  </si>
  <si>
    <t>Mumbai</t>
  </si>
  <si>
    <t>Pune</t>
  </si>
  <si>
    <t>Delhi</t>
  </si>
  <si>
    <t>Bangalore</t>
  </si>
  <si>
    <t>Chennai</t>
  </si>
  <si>
    <t>Hyderabad</t>
  </si>
  <si>
    <t>Jaipur</t>
  </si>
  <si>
    <t>Kolkata</t>
  </si>
  <si>
    <t>code</t>
  </si>
  <si>
    <t>V-Look-UP</t>
  </si>
  <si>
    <t>City</t>
  </si>
  <si>
    <t>H-Look-UP</t>
  </si>
  <si>
    <t>Details</t>
  </si>
  <si>
    <t>Distance (km)</t>
  </si>
  <si>
    <t>Population (M)</t>
  </si>
  <si>
    <t>Avg Temp (°C)</t>
  </si>
  <si>
    <t>Sr.No</t>
  </si>
  <si>
    <t>Choose</t>
  </si>
  <si>
    <t>RUPESH</t>
  </si>
  <si>
    <t>VP07</t>
  </si>
  <si>
    <t>PUSHPA</t>
  </si>
  <si>
    <t>SONU</t>
  </si>
  <si>
    <t>MAYUR</t>
  </si>
  <si>
    <t>RUTUJA</t>
  </si>
  <si>
    <t>DATE- 13</t>
  </si>
  <si>
    <t>Exact</t>
  </si>
  <si>
    <t>Ocean</t>
  </si>
  <si>
    <t>Pacific Ocean</t>
  </si>
  <si>
    <t>Atlantic Ocean</t>
  </si>
  <si>
    <t>Indian Ocean</t>
  </si>
  <si>
    <t>Southern Ocean</t>
  </si>
  <si>
    <t>Arctic Ocean</t>
  </si>
  <si>
    <t>Depth</t>
  </si>
  <si>
    <t>X-LOOK.UP</t>
  </si>
  <si>
    <t>ABCDE</t>
  </si>
  <si>
    <t>(Not Support fir this Version)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</si>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</sst>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66FF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/>
    <xf numFmtId="0" fontId="0" fillId="3" borderId="0" xfId="0" applyFill="1"/>
    <xf numFmtId="0" fontId="2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14" fontId="0" fillId="0" borderId="0" xfId="0" applyNumberFormat="1"/>
    <xf numFmtId="14" fontId="0" fillId="10" borderId="0" xfId="0" applyNumberFormat="1" applyFill="1"/>
    <xf numFmtId="18" fontId="0" fillId="0" borderId="0" xfId="0" applyNumberFormat="1"/>
    <xf numFmtId="0" fontId="3" fillId="6" borderId="0" xfId="0" applyFont="1" applyFill="1" applyAlignment="1">
      <alignment wrapText="1"/>
    </xf>
    <xf numFmtId="0" fontId="2" fillId="8" borderId="0" xfId="0" applyFont="1" applyFill="1"/>
    <xf numFmtId="0" fontId="0" fillId="11" borderId="0" xfId="0" applyFill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4" borderId="0" xfId="0" applyFill="1"/>
    <xf numFmtId="3" fontId="0" fillId="0" borderId="0" xfId="0" applyNumberFormat="1"/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3">
    <dxf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D0A366-7ED5-4699-9D1E-7B18E5E80BA4}" name="Table3" displayName="Table3" ref="A89:J97" totalsRowShown="0" headerRowDxfId="2">
  <autoFilter ref="A89:J97" xr:uid="{B1D0A366-7ED5-4699-9D1E-7B18E5E80BA4}"/>
  <tableColumns count="10">
    <tableColumn id="1" xr3:uid="{4A32E157-25F5-4752-8668-82FB3DFD22F2}" name="code"/>
    <tableColumn id="2" xr3:uid="{F1635D65-8676-4C76-A309-54CC432AA4CD}" name="City Name" dataDxfId="1"/>
    <tableColumn id="3" xr3:uid="{092FE273-13F6-4055-941E-14909D9FE15F}" name="Mumbai" dataDxfId="0"/>
    <tableColumn id="4" xr3:uid="{0DD33E09-1A94-4B58-9907-6AB1963D8D37}" name="Pune"/>
    <tableColumn id="5" xr3:uid="{61AF097E-E551-479E-870F-72AD8FCE6D8A}" name="Delhi"/>
    <tableColumn id="6" xr3:uid="{3DE4D45B-7455-4BF3-AE41-ECA776E4EF5D}" name="Bangalore"/>
    <tableColumn id="7" xr3:uid="{84769F52-6094-408E-9479-FED4FAFEA8E0}" name="Chennai"/>
    <tableColumn id="8" xr3:uid="{E811EECA-215A-4DB4-9FEA-0202A29018D9}" name="Hyderabad"/>
    <tableColumn id="9" xr3:uid="{DED030EA-222D-44D3-B9E1-5F9EEF067DB7}" name="Jaipur"/>
    <tableColumn id="10" xr3:uid="{203F562D-5AC1-4694-9C1E-B24B9959BA2A}" name="Kolkata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15ACF-132B-4306-B288-CE24C9E4822B}">
  <dimension ref="A1:X147"/>
  <sheetViews>
    <sheetView tabSelected="1" topLeftCell="A137" zoomScale="113" zoomScaleNormal="110" workbookViewId="0">
      <selection activeCell="J142" sqref="J142"/>
    </sheetView>
  </sheetViews>
  <sheetFormatPr defaultRowHeight="15" x14ac:dyDescent="0.25"/>
  <cols>
    <col min="1" max="1" width="10.140625" customWidth="1"/>
    <col min="2" max="2" width="12" customWidth="1"/>
    <col min="3" max="3" width="10.28515625" customWidth="1"/>
    <col min="5" max="5" width="15.7109375" customWidth="1"/>
    <col min="6" max="6" width="17.140625" customWidth="1"/>
    <col min="7" max="7" width="9.85546875" customWidth="1"/>
    <col min="8" max="8" width="12.42578125" customWidth="1"/>
    <col min="10" max="10" width="9.28515625" customWidth="1"/>
    <col min="14" max="14" width="14" customWidth="1"/>
    <col min="15" max="15" width="13.140625" customWidth="1"/>
  </cols>
  <sheetData>
    <row r="1" spans="3:13" x14ac:dyDescent="0.25">
      <c r="F1" t="s">
        <v>8</v>
      </c>
    </row>
    <row r="3" spans="3:13" x14ac:dyDescent="0.25">
      <c r="C3" t="s">
        <v>0</v>
      </c>
      <c r="E3">
        <v>1</v>
      </c>
      <c r="F3">
        <v>11</v>
      </c>
    </row>
    <row r="4" spans="3:13" x14ac:dyDescent="0.25">
      <c r="C4" t="s">
        <v>0</v>
      </c>
      <c r="E4">
        <v>2</v>
      </c>
      <c r="F4">
        <v>22</v>
      </c>
    </row>
    <row r="5" spans="3:13" x14ac:dyDescent="0.25">
      <c r="C5" t="s">
        <v>0</v>
      </c>
      <c r="E5">
        <v>3</v>
      </c>
      <c r="F5">
        <v>33</v>
      </c>
      <c r="J5" t="s">
        <v>1</v>
      </c>
      <c r="K5" t="s">
        <v>5</v>
      </c>
    </row>
    <row r="6" spans="3:13" x14ac:dyDescent="0.25">
      <c r="C6" t="s">
        <v>0</v>
      </c>
      <c r="E6">
        <v>4</v>
      </c>
      <c r="F6">
        <v>44</v>
      </c>
      <c r="J6" t="s">
        <v>2</v>
      </c>
      <c r="K6" t="s">
        <v>6</v>
      </c>
    </row>
    <row r="7" spans="3:13" x14ac:dyDescent="0.25">
      <c r="C7" t="s">
        <v>0</v>
      </c>
      <c r="E7">
        <v>5</v>
      </c>
      <c r="F7">
        <v>55</v>
      </c>
      <c r="J7" t="s">
        <v>3</v>
      </c>
      <c r="K7" t="s">
        <v>7</v>
      </c>
    </row>
    <row r="8" spans="3:13" x14ac:dyDescent="0.25">
      <c r="C8" t="s">
        <v>0</v>
      </c>
      <c r="E8">
        <v>6</v>
      </c>
      <c r="F8">
        <v>66</v>
      </c>
      <c r="J8" t="s">
        <v>4</v>
      </c>
      <c r="K8" t="s">
        <v>7</v>
      </c>
    </row>
    <row r="9" spans="3:13" x14ac:dyDescent="0.25">
      <c r="C9" t="s">
        <v>0</v>
      </c>
      <c r="E9">
        <v>7</v>
      </c>
      <c r="F9">
        <v>77</v>
      </c>
    </row>
    <row r="10" spans="3:13" x14ac:dyDescent="0.25">
      <c r="C10" t="s">
        <v>0</v>
      </c>
      <c r="E10">
        <v>8</v>
      </c>
      <c r="F10">
        <v>88</v>
      </c>
    </row>
    <row r="11" spans="3:13" x14ac:dyDescent="0.25">
      <c r="E11">
        <v>9</v>
      </c>
      <c r="F11">
        <v>99</v>
      </c>
    </row>
    <row r="12" spans="3:13" x14ac:dyDescent="0.25">
      <c r="E12">
        <v>10</v>
      </c>
      <c r="F12">
        <v>1010</v>
      </c>
    </row>
    <row r="13" spans="3:13" x14ac:dyDescent="0.25">
      <c r="E13">
        <v>11</v>
      </c>
      <c r="F13">
        <v>1111</v>
      </c>
    </row>
    <row r="14" spans="3:13" x14ac:dyDescent="0.25">
      <c r="E14">
        <v>12</v>
      </c>
      <c r="F14">
        <v>1212</v>
      </c>
    </row>
    <row r="15" spans="3:13" x14ac:dyDescent="0.25">
      <c r="E15">
        <v>13</v>
      </c>
      <c r="F15">
        <v>1313</v>
      </c>
      <c r="M15" t="s">
        <v>0</v>
      </c>
    </row>
    <row r="16" spans="3:13" x14ac:dyDescent="0.25">
      <c r="E16">
        <v>14</v>
      </c>
      <c r="F16">
        <v>1414</v>
      </c>
    </row>
    <row r="17" spans="1:12" x14ac:dyDescent="0.25">
      <c r="E17">
        <v>15</v>
      </c>
      <c r="F17">
        <v>1515</v>
      </c>
    </row>
    <row r="18" spans="1:12" x14ac:dyDescent="0.25">
      <c r="E18">
        <v>16</v>
      </c>
      <c r="F18">
        <v>1616</v>
      </c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30" x14ac:dyDescent="0.25">
      <c r="A21" s="2" t="s">
        <v>12</v>
      </c>
    </row>
    <row r="23" spans="1:12" x14ac:dyDescent="0.25">
      <c r="A23" t="s">
        <v>9</v>
      </c>
      <c r="F23" t="str">
        <f>A23</f>
        <v>Hii</v>
      </c>
      <c r="H23" t="s">
        <v>14</v>
      </c>
      <c r="J23" t="str">
        <f>$H$23</f>
        <v>yy</v>
      </c>
    </row>
    <row r="24" spans="1:12" x14ac:dyDescent="0.25">
      <c r="A24" t="s">
        <v>10</v>
      </c>
      <c r="F24" t="str">
        <f t="shared" ref="F24:F30" si="0">A24</f>
        <v>Hello</v>
      </c>
      <c r="H24" t="s">
        <v>15</v>
      </c>
      <c r="J24" t="str">
        <f t="shared" ref="J24:J25" si="1">$H$23</f>
        <v>yy</v>
      </c>
    </row>
    <row r="25" spans="1:12" x14ac:dyDescent="0.25">
      <c r="A25">
        <v>1</v>
      </c>
      <c r="F25">
        <f t="shared" si="0"/>
        <v>1</v>
      </c>
      <c r="H25" t="s">
        <v>13</v>
      </c>
      <c r="J25" t="str">
        <f t="shared" si="1"/>
        <v>yy</v>
      </c>
    </row>
    <row r="26" spans="1:12" x14ac:dyDescent="0.25">
      <c r="A26">
        <v>222</v>
      </c>
      <c r="F26">
        <f t="shared" si="0"/>
        <v>222</v>
      </c>
    </row>
    <row r="27" spans="1:12" x14ac:dyDescent="0.25">
      <c r="A27">
        <v>3</v>
      </c>
      <c r="F27">
        <f t="shared" si="0"/>
        <v>3</v>
      </c>
    </row>
    <row r="28" spans="1:12" x14ac:dyDescent="0.25">
      <c r="A28">
        <v>55</v>
      </c>
      <c r="F28">
        <f t="shared" si="0"/>
        <v>55</v>
      </c>
    </row>
    <row r="29" spans="1:12" x14ac:dyDescent="0.25">
      <c r="A29" t="s">
        <v>11</v>
      </c>
      <c r="F29" t="str">
        <f t="shared" si="0"/>
        <v>&amp;</v>
      </c>
    </row>
    <row r="30" spans="1:12" x14ac:dyDescent="0.25">
      <c r="A30">
        <v>654</v>
      </c>
      <c r="F30">
        <f t="shared" si="0"/>
        <v>654</v>
      </c>
    </row>
    <row r="33" spans="1:1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t="s">
        <v>16</v>
      </c>
      <c r="C34" t="s">
        <v>22</v>
      </c>
    </row>
    <row r="35" spans="1:11" x14ac:dyDescent="0.25">
      <c r="E35" s="3" t="s">
        <v>17</v>
      </c>
    </row>
    <row r="36" spans="1:11" x14ac:dyDescent="0.25">
      <c r="A36">
        <v>10</v>
      </c>
      <c r="E36">
        <v>10</v>
      </c>
    </row>
    <row r="37" spans="1:11" x14ac:dyDescent="0.25">
      <c r="A37">
        <v>20</v>
      </c>
      <c r="E37">
        <v>20</v>
      </c>
      <c r="F37">
        <f>COUNT(E36:E46)</f>
        <v>10</v>
      </c>
      <c r="G37" t="s">
        <v>18</v>
      </c>
    </row>
    <row r="38" spans="1:11" x14ac:dyDescent="0.25">
      <c r="A38">
        <v>30</v>
      </c>
      <c r="E38">
        <v>30</v>
      </c>
    </row>
    <row r="39" spans="1:11" x14ac:dyDescent="0.25">
      <c r="A39">
        <v>40</v>
      </c>
      <c r="F39">
        <f>COUNTA(E36:E46)</f>
        <v>10</v>
      </c>
      <c r="G39" t="s">
        <v>19</v>
      </c>
    </row>
    <row r="40" spans="1:11" x14ac:dyDescent="0.25">
      <c r="A40">
        <v>50</v>
      </c>
      <c r="E40">
        <v>50</v>
      </c>
    </row>
    <row r="41" spans="1:11" x14ac:dyDescent="0.25">
      <c r="A41">
        <f>SUM(summ)</f>
        <v>150</v>
      </c>
      <c r="E41">
        <v>3</v>
      </c>
      <c r="F41">
        <f>COUNTIF(E36:E48,"&lt;5")</f>
        <v>2</v>
      </c>
      <c r="G41" t="s">
        <v>20</v>
      </c>
    </row>
    <row r="42" spans="1:11" x14ac:dyDescent="0.25">
      <c r="E42">
        <v>435</v>
      </c>
    </row>
    <row r="43" spans="1:11" x14ac:dyDescent="0.25">
      <c r="A43">
        <f>SUM(total)</f>
        <v>300</v>
      </c>
      <c r="E43">
        <v>0</v>
      </c>
    </row>
    <row r="44" spans="1:11" x14ac:dyDescent="0.25">
      <c r="E44">
        <v>23</v>
      </c>
    </row>
    <row r="45" spans="1:11" x14ac:dyDescent="0.25">
      <c r="E45">
        <v>56</v>
      </c>
    </row>
    <row r="46" spans="1:11" x14ac:dyDescent="0.25">
      <c r="E46">
        <v>787</v>
      </c>
    </row>
    <row r="47" spans="1:11" x14ac:dyDescent="0.25">
      <c r="E47">
        <v>32</v>
      </c>
    </row>
    <row r="48" spans="1:11" x14ac:dyDescent="0.25">
      <c r="E48">
        <v>9</v>
      </c>
    </row>
    <row r="50" spans="1:2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10"/>
      <c r="N50" s="10"/>
      <c r="O50" s="10"/>
      <c r="P50" s="10"/>
      <c r="R50" s="10"/>
      <c r="T50" s="10"/>
      <c r="U50" s="10"/>
      <c r="V50" s="10"/>
      <c r="W50" s="10"/>
    </row>
    <row r="51" spans="1:23" x14ac:dyDescent="0.25">
      <c r="L51" s="11"/>
      <c r="M51" s="7" t="s">
        <v>45</v>
      </c>
      <c r="N51" s="7"/>
    </row>
    <row r="52" spans="1:23" x14ac:dyDescent="0.25">
      <c r="A52" t="s">
        <v>21</v>
      </c>
      <c r="F52" t="s">
        <v>40</v>
      </c>
      <c r="G52" s="7" t="s">
        <v>33</v>
      </c>
      <c r="H52" s="7" t="s">
        <v>34</v>
      </c>
      <c r="J52" s="9" t="s">
        <v>44</v>
      </c>
      <c r="L52" s="11"/>
      <c r="N52" t="s">
        <v>58</v>
      </c>
      <c r="O52" t="s">
        <v>61</v>
      </c>
      <c r="P52" t="s">
        <v>75</v>
      </c>
    </row>
    <row r="53" spans="1:23" x14ac:dyDescent="0.25">
      <c r="B53" s="5" t="s">
        <v>23</v>
      </c>
      <c r="C53" s="5" t="s">
        <v>24</v>
      </c>
      <c r="D53">
        <v>80</v>
      </c>
      <c r="E53" t="s">
        <v>32</v>
      </c>
      <c r="L53" s="11"/>
      <c r="O53" t="s">
        <v>63</v>
      </c>
    </row>
    <row r="54" spans="1:23" x14ac:dyDescent="0.25">
      <c r="D54">
        <v>25</v>
      </c>
      <c r="E54" t="s">
        <v>28</v>
      </c>
      <c r="F54" s="8" t="s">
        <v>35</v>
      </c>
      <c r="G54" t="s">
        <v>36</v>
      </c>
      <c r="H54" t="s">
        <v>36</v>
      </c>
      <c r="J54">
        <v>20</v>
      </c>
      <c r="K54">
        <v>0</v>
      </c>
      <c r="L54" s="11"/>
      <c r="M54" t="s">
        <v>46</v>
      </c>
      <c r="N54" t="str">
        <f>UPPER(N52)</f>
        <v>RUPESH DESAI</v>
      </c>
    </row>
    <row r="55" spans="1:23" x14ac:dyDescent="0.25">
      <c r="A55" s="6" t="s">
        <v>25</v>
      </c>
      <c r="B55">
        <v>33</v>
      </c>
      <c r="C55" t="str">
        <f>IF(B55&gt;=8,"PASS","FAIL")</f>
        <v>PASS</v>
      </c>
      <c r="D55">
        <v>50</v>
      </c>
      <c r="E55" t="s">
        <v>27</v>
      </c>
      <c r="F55" s="8" t="s">
        <v>37</v>
      </c>
      <c r="G55" t="s">
        <v>26</v>
      </c>
      <c r="H55" t="s">
        <v>36</v>
      </c>
      <c r="J55" t="b">
        <f>J54=IFERROR(J54/K54,"RUPESH")</f>
        <v>0</v>
      </c>
      <c r="L55" s="11"/>
      <c r="M55" t="s">
        <v>47</v>
      </c>
      <c r="N55" t="str">
        <f>LOWER(N52)</f>
        <v>rupesh desai</v>
      </c>
    </row>
    <row r="56" spans="1:23" x14ac:dyDescent="0.25">
      <c r="D56">
        <v>75</v>
      </c>
      <c r="E56" t="s">
        <v>29</v>
      </c>
      <c r="F56" s="8" t="s">
        <v>38</v>
      </c>
      <c r="G56" t="s">
        <v>26</v>
      </c>
      <c r="H56" t="s">
        <v>36</v>
      </c>
      <c r="L56" s="11"/>
      <c r="M56" t="s">
        <v>48</v>
      </c>
      <c r="N56" t="str">
        <f>PROPER(N52)</f>
        <v>Rupesh Desai</v>
      </c>
    </row>
    <row r="57" spans="1:23" x14ac:dyDescent="0.25">
      <c r="A57" s="6" t="s">
        <v>31</v>
      </c>
      <c r="B57">
        <v>70</v>
      </c>
      <c r="C57" t="b">
        <f>IF(D54&lt;=B57,IF(D55&lt;=B57,IF(D56&lt;=B57,IF(D53&lt;=B57,D55,D56))))</f>
        <v>0</v>
      </c>
      <c r="D57">
        <v>90</v>
      </c>
      <c r="E57" t="s">
        <v>30</v>
      </c>
      <c r="F57" s="8" t="s">
        <v>39</v>
      </c>
      <c r="G57" t="s">
        <v>26</v>
      </c>
      <c r="H57" t="s">
        <v>26</v>
      </c>
      <c r="L57" s="11"/>
      <c r="M57" t="s">
        <v>49</v>
      </c>
      <c r="N57">
        <f>LEN(N52)</f>
        <v>12</v>
      </c>
    </row>
    <row r="58" spans="1:23" x14ac:dyDescent="0.25">
      <c r="L58" s="11"/>
      <c r="M58" t="s">
        <v>50</v>
      </c>
      <c r="N58" t="str">
        <f>LEFT(N52,6)</f>
        <v>Rupesh</v>
      </c>
    </row>
    <row r="59" spans="1:23" x14ac:dyDescent="0.25">
      <c r="L59" s="11"/>
      <c r="M59" t="s">
        <v>51</v>
      </c>
      <c r="N59" t="str">
        <f>RIGHT(N52, 5)</f>
        <v>Desai</v>
      </c>
    </row>
    <row r="60" spans="1:23" x14ac:dyDescent="0.25">
      <c r="F60" s="8" t="s">
        <v>41</v>
      </c>
      <c r="G60">
        <v>6</v>
      </c>
      <c r="L60" s="11"/>
      <c r="M60" t="s">
        <v>52</v>
      </c>
      <c r="N60" t="str">
        <f>MID(N52,3,2)</f>
        <v>pe</v>
      </c>
    </row>
    <row r="61" spans="1:23" x14ac:dyDescent="0.25">
      <c r="F61" s="8" t="s">
        <v>42</v>
      </c>
      <c r="G61">
        <v>99</v>
      </c>
      <c r="L61" s="11"/>
      <c r="M61" t="s">
        <v>53</v>
      </c>
      <c r="N61" t="str">
        <f>REPLACE(N52,6,3,"DoN")</f>
        <v>RupesDoNesai</v>
      </c>
    </row>
    <row r="62" spans="1:23" x14ac:dyDescent="0.25">
      <c r="L62" s="11"/>
      <c r="M62" t="s">
        <v>54</v>
      </c>
      <c r="N62">
        <f>FIND("e",N52)</f>
        <v>4</v>
      </c>
      <c r="O62" t="s">
        <v>59</v>
      </c>
    </row>
    <row r="63" spans="1:23" x14ac:dyDescent="0.25">
      <c r="F63" t="s">
        <v>43</v>
      </c>
      <c r="G63" t="str">
        <f>IF(OR(G60&gt;80,G61&gt;80),"TRUE","FALSE")</f>
        <v>TRUE</v>
      </c>
      <c r="L63" s="11"/>
      <c r="M63" t="s">
        <v>55</v>
      </c>
      <c r="N63">
        <f>SEARCH("E",N52)</f>
        <v>4</v>
      </c>
      <c r="O63" t="s">
        <v>60</v>
      </c>
    </row>
    <row r="64" spans="1:23" x14ac:dyDescent="0.25">
      <c r="L64" s="11"/>
      <c r="M64" t="s">
        <v>56</v>
      </c>
      <c r="N64" t="str">
        <f>_xlfn.CONCAT(N52,O52,P52)</f>
        <v>Rupesh DesaiStudentPass</v>
      </c>
    </row>
    <row r="65" spans="1:15" x14ac:dyDescent="0.25">
      <c r="M65" t="s">
        <v>57</v>
      </c>
      <c r="N65" t="str">
        <f>TRIM(O53)</f>
        <v>R U P S</v>
      </c>
      <c r="O65" t="s">
        <v>62</v>
      </c>
    </row>
    <row r="67" spans="1:15" ht="15" customHeight="1" x14ac:dyDescent="0.25"/>
    <row r="68" spans="1:15" ht="24.75" x14ac:dyDescent="0.25">
      <c r="B68" s="15" t="s">
        <v>64</v>
      </c>
      <c r="C68" s="2"/>
      <c r="D68">
        <v>2020</v>
      </c>
      <c r="H68" s="16" t="s">
        <v>76</v>
      </c>
      <c r="M68" s="18"/>
      <c r="N68" s="16" t="s">
        <v>88</v>
      </c>
    </row>
    <row r="69" spans="1:15" x14ac:dyDescent="0.25">
      <c r="C69">
        <v>2025</v>
      </c>
      <c r="D69">
        <v>10</v>
      </c>
      <c r="E69">
        <v>20</v>
      </c>
      <c r="J69">
        <f>MATCH(J70,H70:L70,0)</f>
        <v>3</v>
      </c>
      <c r="K69">
        <f>MATCH(K70,H70:L70,0)</f>
        <v>4</v>
      </c>
      <c r="L69">
        <f>MATCH(L70,H70:L70,0)</f>
        <v>5</v>
      </c>
      <c r="N69" t="s">
        <v>89</v>
      </c>
    </row>
    <row r="70" spans="1:15" x14ac:dyDescent="0.25">
      <c r="A70" t="s">
        <v>65</v>
      </c>
      <c r="B70" s="12">
        <f ca="1">NOW()</f>
        <v>45875.445531365738</v>
      </c>
      <c r="H70" s="17" t="s">
        <v>77</v>
      </c>
      <c r="I70" s="11" t="s">
        <v>78</v>
      </c>
      <c r="J70" s="11" t="s">
        <v>79</v>
      </c>
      <c r="K70" s="11" t="s">
        <v>80</v>
      </c>
      <c r="L70" s="11" t="s">
        <v>81</v>
      </c>
      <c r="N70">
        <f>MATCH(N69,H70:H76,0)</f>
        <v>6</v>
      </c>
    </row>
    <row r="71" spans="1:15" x14ac:dyDescent="0.25">
      <c r="B71" s="13" t="s">
        <v>67</v>
      </c>
      <c r="C71" s="11" t="s">
        <v>68</v>
      </c>
      <c r="D71" s="11" t="s">
        <v>66</v>
      </c>
      <c r="E71" s="11" t="s">
        <v>69</v>
      </c>
      <c r="F71" s="11" t="s">
        <v>70</v>
      </c>
      <c r="H71" s="17" t="s">
        <v>82</v>
      </c>
      <c r="I71">
        <v>20</v>
      </c>
      <c r="J71">
        <v>10</v>
      </c>
      <c r="K71">
        <v>1</v>
      </c>
      <c r="L71">
        <v>3</v>
      </c>
    </row>
    <row r="72" spans="1:15" x14ac:dyDescent="0.25">
      <c r="B72" s="12">
        <f ca="1">YEAR(B70)</f>
        <v>2025</v>
      </c>
      <c r="C72">
        <f ca="1">MONTH(B70)</f>
        <v>8</v>
      </c>
      <c r="D72">
        <f ca="1">DAY(B70)</f>
        <v>6</v>
      </c>
      <c r="E72" s="12">
        <f>DATE(C69,D69,E69)</f>
        <v>45950</v>
      </c>
      <c r="F72" t="str">
        <f>TEXT(E69,"mmm")</f>
        <v>Jan</v>
      </c>
      <c r="H72" s="17" t="s">
        <v>83</v>
      </c>
      <c r="I72">
        <v>30</v>
      </c>
      <c r="J72">
        <v>20</v>
      </c>
      <c r="K72">
        <v>3</v>
      </c>
      <c r="L72">
        <v>5</v>
      </c>
    </row>
    <row r="73" spans="1:15" x14ac:dyDescent="0.25">
      <c r="B73" s="11" t="s">
        <v>71</v>
      </c>
      <c r="C73" s="11" t="s">
        <v>72</v>
      </c>
      <c r="D73" s="11" t="s">
        <v>73</v>
      </c>
      <c r="E73" s="11" t="s">
        <v>74</v>
      </c>
      <c r="H73" s="17" t="s">
        <v>84</v>
      </c>
      <c r="I73">
        <v>45</v>
      </c>
      <c r="J73">
        <v>30</v>
      </c>
      <c r="K73">
        <v>4</v>
      </c>
      <c r="L73">
        <v>2</v>
      </c>
      <c r="N73" s="16" t="s">
        <v>91</v>
      </c>
    </row>
    <row r="74" spans="1:15" x14ac:dyDescent="0.25">
      <c r="B74">
        <f>EOMONTH(D69,2)</f>
        <v>91</v>
      </c>
      <c r="C74">
        <f>HOUR(D74)</f>
        <v>8</v>
      </c>
      <c r="D74" s="14">
        <f>TIME(8,1,2)</f>
        <v>0.33405092592592595</v>
      </c>
      <c r="E74">
        <f>SECOND(D74)</f>
        <v>2</v>
      </c>
      <c r="H74" s="17" t="s">
        <v>85</v>
      </c>
      <c r="I74">
        <v>65</v>
      </c>
      <c r="J74">
        <v>40</v>
      </c>
      <c r="K74">
        <v>12</v>
      </c>
      <c r="L74">
        <v>6</v>
      </c>
      <c r="N74">
        <f ca="1">SUM(INDIRECT(J70))</f>
        <v>123</v>
      </c>
    </row>
    <row r="75" spans="1:15" x14ac:dyDescent="0.25">
      <c r="H75" s="17" t="s">
        <v>86</v>
      </c>
      <c r="I75">
        <v>32</v>
      </c>
      <c r="J75">
        <v>20</v>
      </c>
      <c r="K75">
        <v>8</v>
      </c>
      <c r="L75">
        <v>1</v>
      </c>
    </row>
    <row r="76" spans="1:15" x14ac:dyDescent="0.25">
      <c r="H76" s="17" t="s">
        <v>87</v>
      </c>
      <c r="I76">
        <v>33</v>
      </c>
      <c r="J76">
        <v>3</v>
      </c>
      <c r="K76">
        <v>25</v>
      </c>
      <c r="L76">
        <v>6</v>
      </c>
    </row>
    <row r="78" spans="1:15" x14ac:dyDescent="0.25">
      <c r="J78" s="11" t="s">
        <v>79</v>
      </c>
    </row>
    <row r="79" spans="1:15" x14ac:dyDescent="0.25">
      <c r="H79">
        <f>MATCH(I79,H70:H76,0)</f>
        <v>5</v>
      </c>
      <c r="I79" s="17" t="s">
        <v>85</v>
      </c>
      <c r="J79">
        <f>INDEX(H74:J74,3)</f>
        <v>40</v>
      </c>
    </row>
    <row r="80" spans="1:15" x14ac:dyDescent="0.25">
      <c r="I80" s="17" t="s">
        <v>86</v>
      </c>
      <c r="J80">
        <f>INDEX(H76:K76,4)</f>
        <v>25</v>
      </c>
    </row>
    <row r="81" spans="1:21" x14ac:dyDescent="0.25">
      <c r="H81">
        <f>MATCH(I81,H69:H77,0)</f>
        <v>6</v>
      </c>
      <c r="I81" s="17" t="s">
        <v>85</v>
      </c>
      <c r="J81">
        <f>INDEX(H74:L74,5)</f>
        <v>6</v>
      </c>
    </row>
    <row r="82" spans="1:21" ht="45" x14ac:dyDescent="0.25">
      <c r="H82">
        <f>MATCH(I82,H70:H76)</f>
        <v>4</v>
      </c>
      <c r="I82" s="17" t="s">
        <v>84</v>
      </c>
      <c r="J82">
        <f>INDEX(H70:L76,4,3)</f>
        <v>30</v>
      </c>
      <c r="K82" s="2" t="s">
        <v>90</v>
      </c>
    </row>
    <row r="85" spans="1:2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7" spans="1:21" x14ac:dyDescent="0.25">
      <c r="A87" s="7" t="s">
        <v>92</v>
      </c>
    </row>
    <row r="88" spans="1:21" x14ac:dyDescent="0.25">
      <c r="C88" s="20"/>
    </row>
    <row r="89" spans="1:21" x14ac:dyDescent="0.25">
      <c r="A89" s="18" t="s">
        <v>102</v>
      </c>
      <c r="B89" s="21" t="s">
        <v>93</v>
      </c>
      <c r="C89" s="11" t="s">
        <v>94</v>
      </c>
      <c r="D89" s="11" t="s">
        <v>95</v>
      </c>
      <c r="E89" s="11" t="s">
        <v>96</v>
      </c>
      <c r="F89" s="11" t="s">
        <v>97</v>
      </c>
      <c r="G89" s="11" t="s">
        <v>98</v>
      </c>
      <c r="H89" s="11" t="s">
        <v>99</v>
      </c>
      <c r="I89" s="11" t="s">
        <v>100</v>
      </c>
      <c r="J89" s="22" t="s">
        <v>101</v>
      </c>
    </row>
    <row r="90" spans="1:21" x14ac:dyDescent="0.25">
      <c r="A90">
        <v>1</v>
      </c>
      <c r="B90" s="22" t="s">
        <v>94</v>
      </c>
      <c r="C90" s="19">
        <v>0</v>
      </c>
      <c r="D90">
        <v>200</v>
      </c>
      <c r="E90">
        <v>1111</v>
      </c>
      <c r="F90">
        <v>234</v>
      </c>
      <c r="G90">
        <v>123</v>
      </c>
      <c r="H90">
        <v>765</v>
      </c>
      <c r="I90">
        <v>65</v>
      </c>
      <c r="J90">
        <v>65</v>
      </c>
    </row>
    <row r="91" spans="1:21" x14ac:dyDescent="0.25">
      <c r="A91">
        <v>2</v>
      </c>
      <c r="B91" s="22" t="s">
        <v>95</v>
      </c>
      <c r="C91" s="19">
        <v>150</v>
      </c>
      <c r="D91">
        <v>0</v>
      </c>
      <c r="E91">
        <v>322</v>
      </c>
      <c r="F91">
        <v>56</v>
      </c>
      <c r="G91">
        <v>21</v>
      </c>
      <c r="H91">
        <v>34</v>
      </c>
      <c r="I91">
        <v>765</v>
      </c>
      <c r="J91">
        <v>54</v>
      </c>
    </row>
    <row r="92" spans="1:21" x14ac:dyDescent="0.25">
      <c r="A92">
        <v>3</v>
      </c>
      <c r="B92" s="22" t="s">
        <v>96</v>
      </c>
      <c r="C92" s="19">
        <v>1400</v>
      </c>
      <c r="D92">
        <v>122</v>
      </c>
      <c r="E92">
        <v>0</v>
      </c>
      <c r="F92">
        <v>7</v>
      </c>
      <c r="G92">
        <v>2</v>
      </c>
      <c r="H92">
        <v>234</v>
      </c>
      <c r="I92">
        <v>65</v>
      </c>
      <c r="J92">
        <v>3</v>
      </c>
    </row>
    <row r="93" spans="1:21" x14ac:dyDescent="0.25">
      <c r="A93">
        <v>4</v>
      </c>
      <c r="B93" s="22" t="s">
        <v>97</v>
      </c>
      <c r="C93" s="19">
        <v>980</v>
      </c>
      <c r="D93">
        <v>33</v>
      </c>
      <c r="E93">
        <v>65</v>
      </c>
      <c r="F93">
        <v>0</v>
      </c>
      <c r="G93">
        <v>34</v>
      </c>
      <c r="H93">
        <v>345</v>
      </c>
      <c r="I93">
        <v>32</v>
      </c>
      <c r="J93">
        <v>76</v>
      </c>
    </row>
    <row r="94" spans="1:21" x14ac:dyDescent="0.25">
      <c r="A94">
        <v>5</v>
      </c>
      <c r="B94" s="22" t="s">
        <v>98</v>
      </c>
      <c r="C94" s="19">
        <v>1330</v>
      </c>
      <c r="D94">
        <v>56</v>
      </c>
      <c r="E94">
        <v>99</v>
      </c>
      <c r="F94">
        <v>122</v>
      </c>
      <c r="G94">
        <v>0</v>
      </c>
      <c r="H94">
        <v>23</v>
      </c>
      <c r="I94">
        <v>433</v>
      </c>
      <c r="J94">
        <v>76</v>
      </c>
    </row>
    <row r="95" spans="1:21" x14ac:dyDescent="0.25">
      <c r="A95">
        <v>6</v>
      </c>
      <c r="B95" s="22" t="s">
        <v>99</v>
      </c>
      <c r="C95" s="19">
        <v>710</v>
      </c>
      <c r="D95">
        <v>876</v>
      </c>
      <c r="E95">
        <v>88</v>
      </c>
      <c r="F95">
        <v>34</v>
      </c>
      <c r="G95">
        <v>54</v>
      </c>
      <c r="H95">
        <v>0</v>
      </c>
      <c r="I95">
        <v>54</v>
      </c>
      <c r="J95">
        <v>654</v>
      </c>
    </row>
    <row r="96" spans="1:21" x14ac:dyDescent="0.25">
      <c r="A96">
        <v>7</v>
      </c>
      <c r="B96" s="22" t="s">
        <v>100</v>
      </c>
      <c r="C96" s="19">
        <v>1150</v>
      </c>
      <c r="D96">
        <v>44</v>
      </c>
      <c r="E96">
        <v>67</v>
      </c>
      <c r="F96">
        <v>566</v>
      </c>
      <c r="G96">
        <v>776</v>
      </c>
      <c r="H96">
        <v>567</v>
      </c>
      <c r="I96">
        <v>0</v>
      </c>
      <c r="J96">
        <v>654</v>
      </c>
    </row>
    <row r="97" spans="1:10" x14ac:dyDescent="0.25">
      <c r="A97">
        <v>8</v>
      </c>
      <c r="B97" s="22" t="s">
        <v>101</v>
      </c>
      <c r="C97" s="19">
        <v>2050</v>
      </c>
      <c r="D97">
        <v>34</v>
      </c>
      <c r="E97">
        <v>56</v>
      </c>
      <c r="F97">
        <v>788</v>
      </c>
      <c r="G97">
        <v>98</v>
      </c>
      <c r="H97">
        <v>788</v>
      </c>
      <c r="I97">
        <v>876</v>
      </c>
      <c r="J97">
        <v>0</v>
      </c>
    </row>
    <row r="99" spans="1:10" x14ac:dyDescent="0.25">
      <c r="A99" s="9" t="s">
        <v>103</v>
      </c>
    </row>
    <row r="100" spans="1:10" x14ac:dyDescent="0.25">
      <c r="B100" t="s">
        <v>104</v>
      </c>
      <c r="C100" t="s">
        <v>96</v>
      </c>
    </row>
    <row r="101" spans="1:10" x14ac:dyDescent="0.25">
      <c r="B101" s="23" t="s">
        <v>98</v>
      </c>
      <c r="C101">
        <f>VLOOKUP(B101,B90:J97,4,0)</f>
        <v>99</v>
      </c>
    </row>
    <row r="102" spans="1:10" x14ac:dyDescent="0.25">
      <c r="B102" s="23" t="s">
        <v>99</v>
      </c>
      <c r="C102">
        <f>VLOOKUP(B102,B90:E97,4,0)</f>
        <v>88</v>
      </c>
    </row>
    <row r="103" spans="1:10" x14ac:dyDescent="0.25">
      <c r="B103" s="23" t="s">
        <v>95</v>
      </c>
      <c r="C103">
        <f>VLOOKUP(B103,B90:E97,4,0)</f>
        <v>322</v>
      </c>
    </row>
    <row r="104" spans="1:10" x14ac:dyDescent="0.25">
      <c r="B104" s="23" t="s">
        <v>97</v>
      </c>
      <c r="C104">
        <f>VLOOKUP(B104,B90:E97,4,0)</f>
        <v>65</v>
      </c>
    </row>
    <row r="105" spans="1:10" x14ac:dyDescent="0.25">
      <c r="B105" s="23" t="s">
        <v>101</v>
      </c>
      <c r="C105">
        <f>VLOOKUP(B105,B90:E97,4,0)</f>
        <v>56</v>
      </c>
    </row>
    <row r="106" spans="1:10" x14ac:dyDescent="0.25">
      <c r="B106" s="23" t="s">
        <v>96</v>
      </c>
      <c r="C106">
        <f>VLOOKUP(B106,B90:E97,4,0)</f>
        <v>0</v>
      </c>
    </row>
    <row r="107" spans="1:10" x14ac:dyDescent="0.25">
      <c r="B107" s="23" t="s">
        <v>101</v>
      </c>
      <c r="C107">
        <f>MATCH(B107,B90:B97,0)</f>
        <v>8</v>
      </c>
    </row>
    <row r="110" spans="1:10" x14ac:dyDescent="0.25">
      <c r="A110" s="9" t="s">
        <v>105</v>
      </c>
    </row>
    <row r="111" spans="1:10" x14ac:dyDescent="0.25">
      <c r="B111" s="18" t="s">
        <v>110</v>
      </c>
      <c r="C111">
        <v>1</v>
      </c>
      <c r="D111" s="18">
        <v>2</v>
      </c>
      <c r="E111" s="18">
        <v>3</v>
      </c>
      <c r="F111" s="18">
        <v>4</v>
      </c>
      <c r="G111" s="18">
        <v>5</v>
      </c>
    </row>
    <row r="112" spans="1:10" x14ac:dyDescent="0.25">
      <c r="B112" s="24" t="s">
        <v>106</v>
      </c>
      <c r="C112" s="24" t="s">
        <v>94</v>
      </c>
      <c r="D112" s="24" t="s">
        <v>96</v>
      </c>
      <c r="E112" s="24" t="s">
        <v>95</v>
      </c>
      <c r="F112" s="24" t="s">
        <v>98</v>
      </c>
      <c r="G112" s="24" t="s">
        <v>101</v>
      </c>
    </row>
    <row r="113" spans="1:7" ht="30" x14ac:dyDescent="0.25">
      <c r="B113" s="19" t="s">
        <v>107</v>
      </c>
      <c r="C113" s="19">
        <v>0</v>
      </c>
      <c r="D113" s="19">
        <v>1400</v>
      </c>
      <c r="E113" s="19">
        <v>150</v>
      </c>
      <c r="F113" s="19">
        <v>1330</v>
      </c>
      <c r="G113" s="19">
        <v>2050</v>
      </c>
    </row>
    <row r="114" spans="1:7" ht="30" x14ac:dyDescent="0.25">
      <c r="B114" s="19" t="s">
        <v>108</v>
      </c>
      <c r="C114" s="19">
        <v>20</v>
      </c>
      <c r="D114" s="19">
        <v>19</v>
      </c>
      <c r="E114" s="19">
        <v>7</v>
      </c>
      <c r="F114" s="19">
        <v>10</v>
      </c>
      <c r="G114" s="19">
        <v>15</v>
      </c>
    </row>
    <row r="115" spans="1:7" ht="30" x14ac:dyDescent="0.25">
      <c r="B115" s="19" t="s">
        <v>109</v>
      </c>
      <c r="C115" s="19">
        <v>27</v>
      </c>
      <c r="D115" s="19">
        <v>25</v>
      </c>
      <c r="E115" s="19">
        <v>28</v>
      </c>
      <c r="F115" s="19">
        <v>30</v>
      </c>
      <c r="G115" s="19">
        <v>26</v>
      </c>
    </row>
    <row r="117" spans="1:7" x14ac:dyDescent="0.25">
      <c r="B117" s="11"/>
      <c r="E117">
        <f>HLOOKUP(E112,B112:G115,4,0)</f>
        <v>28</v>
      </c>
    </row>
    <row r="118" spans="1:7" x14ac:dyDescent="0.25">
      <c r="B118" s="24" t="s">
        <v>95</v>
      </c>
      <c r="C118">
        <f>HLOOKUP(B118,B112:G115,4,0)</f>
        <v>28</v>
      </c>
    </row>
    <row r="119" spans="1:7" x14ac:dyDescent="0.25">
      <c r="B119" s="24" t="s">
        <v>98</v>
      </c>
      <c r="C119">
        <f>HLOOKUP(B119,B112:G115,2,0)</f>
        <v>1330</v>
      </c>
    </row>
    <row r="120" spans="1:7" x14ac:dyDescent="0.25">
      <c r="B120" s="24" t="s">
        <v>101</v>
      </c>
      <c r="C120">
        <f>HLOOKUP(B120,B112:G115,2,0)</f>
        <v>2050</v>
      </c>
    </row>
    <row r="121" spans="1:7" x14ac:dyDescent="0.25">
      <c r="B121" s="24" t="s">
        <v>96</v>
      </c>
      <c r="C121">
        <f>HLOOKUP(B121,B112:G115,3,0)</f>
        <v>19</v>
      </c>
    </row>
    <row r="122" spans="1:7" x14ac:dyDescent="0.25">
      <c r="B122" s="24" t="s">
        <v>94</v>
      </c>
      <c r="C122">
        <f>HLOOKUP(C112,B112:G115,2,0)</f>
        <v>0</v>
      </c>
    </row>
    <row r="124" spans="1:7" x14ac:dyDescent="0.25">
      <c r="A124" s="9" t="s">
        <v>111</v>
      </c>
      <c r="C124" t="s">
        <v>112</v>
      </c>
    </row>
    <row r="125" spans="1:7" x14ac:dyDescent="0.25">
      <c r="C125" t="s">
        <v>113</v>
      </c>
    </row>
    <row r="126" spans="1:7" x14ac:dyDescent="0.25">
      <c r="C126" t="s">
        <v>114</v>
      </c>
    </row>
    <row r="127" spans="1:7" x14ac:dyDescent="0.25">
      <c r="C127" t="s">
        <v>115</v>
      </c>
    </row>
    <row r="128" spans="1:7" x14ac:dyDescent="0.25">
      <c r="C128" t="s">
        <v>116</v>
      </c>
    </row>
    <row r="129" spans="1:24" x14ac:dyDescent="0.25">
      <c r="C129" t="s">
        <v>117</v>
      </c>
    </row>
    <row r="131" spans="1:24" x14ac:dyDescent="0.25">
      <c r="A131">
        <v>1</v>
      </c>
      <c r="B131" t="str">
        <f>CHOOSE(1,C124,C125,C126,C127,C128,C129)</f>
        <v>RUPESH</v>
      </c>
    </row>
    <row r="132" spans="1:24" x14ac:dyDescent="0.25">
      <c r="A132">
        <v>2</v>
      </c>
      <c r="B132" t="str">
        <f t="shared" ref="B132:B134" si="2">CHOOSE(1,C125,C126,C127,C128,C129,C130)</f>
        <v>VP07</v>
      </c>
    </row>
    <row r="133" spans="1:24" x14ac:dyDescent="0.25">
      <c r="A133">
        <v>3</v>
      </c>
      <c r="B133" t="str">
        <f t="shared" si="2"/>
        <v>PUSHPA</v>
      </c>
    </row>
    <row r="134" spans="1:24" x14ac:dyDescent="0.25">
      <c r="A134">
        <v>4</v>
      </c>
      <c r="B134" t="str">
        <f t="shared" si="2"/>
        <v>SONU</v>
      </c>
    </row>
    <row r="136" spans="1:24" x14ac:dyDescent="0.25">
      <c r="A136" s="4"/>
      <c r="B136" s="4"/>
      <c r="C136" s="10"/>
      <c r="D136" s="10"/>
      <c r="E136" s="10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8" spans="1:24" x14ac:dyDescent="0.25">
      <c r="A138" s="25" t="s">
        <v>118</v>
      </c>
      <c r="C138" s="9" t="s">
        <v>119</v>
      </c>
      <c r="E138" s="9" t="s">
        <v>127</v>
      </c>
      <c r="F138" t="s">
        <v>129</v>
      </c>
      <c r="I138" s="7" t="s">
        <v>130</v>
      </c>
    </row>
    <row r="139" spans="1:24" x14ac:dyDescent="0.25">
      <c r="C139" t="s">
        <v>112</v>
      </c>
    </row>
    <row r="140" spans="1:24" ht="21.75" customHeight="1" x14ac:dyDescent="0.25">
      <c r="B140" t="s">
        <v>112</v>
      </c>
      <c r="C140" t="b">
        <f>EXACT(C139,B140:B145)</f>
        <v>1</v>
      </c>
      <c r="F140" s="24" t="s">
        <v>120</v>
      </c>
      <c r="G140" s="24" t="s">
        <v>126</v>
      </c>
      <c r="J140" t="str">
        <f ca="1">OFFSET(F141,-3,-1)</f>
        <v>X-LOOK.UP</v>
      </c>
    </row>
    <row r="141" spans="1:24" x14ac:dyDescent="0.25">
      <c r="B141" t="s">
        <v>113</v>
      </c>
      <c r="C141" t="b">
        <f t="shared" ref="C141:C145" si="3">EXACT(C140,B141:B146)</f>
        <v>0</v>
      </c>
      <c r="F141" s="19" t="s">
        <v>121</v>
      </c>
      <c r="G141" s="27">
        <v>4280</v>
      </c>
    </row>
    <row r="142" spans="1:24" x14ac:dyDescent="0.25">
      <c r="B142" t="s">
        <v>114</v>
      </c>
      <c r="C142" t="b">
        <f t="shared" si="3"/>
        <v>0</v>
      </c>
      <c r="F142" s="19" t="s">
        <v>122</v>
      </c>
      <c r="G142" s="27">
        <v>3646</v>
      </c>
    </row>
    <row r="143" spans="1:24" x14ac:dyDescent="0.25">
      <c r="B143" t="s">
        <v>115</v>
      </c>
      <c r="C143" t="b">
        <f t="shared" si="3"/>
        <v>0</v>
      </c>
      <c r="F143" s="19" t="s">
        <v>123</v>
      </c>
      <c r="G143" s="27">
        <v>3741</v>
      </c>
    </row>
    <row r="144" spans="1:24" x14ac:dyDescent="0.25">
      <c r="B144" t="s">
        <v>116</v>
      </c>
      <c r="C144" t="b">
        <f t="shared" si="3"/>
        <v>0</v>
      </c>
      <c r="F144" s="19" t="s">
        <v>124</v>
      </c>
      <c r="G144" s="27">
        <v>3270</v>
      </c>
    </row>
    <row r="145" spans="2:7" x14ac:dyDescent="0.25">
      <c r="B145" t="s">
        <v>117</v>
      </c>
      <c r="C145" t="b">
        <f t="shared" si="3"/>
        <v>0</v>
      </c>
      <c r="F145" s="19" t="s">
        <v>125</v>
      </c>
      <c r="G145" s="27">
        <v>1205</v>
      </c>
    </row>
    <row r="146" spans="2:7" x14ac:dyDescent="0.25">
      <c r="F146" s="19" t="s">
        <v>128</v>
      </c>
      <c r="G146" s="26">
        <v>2123</v>
      </c>
    </row>
    <row r="147" spans="2:7" x14ac:dyDescent="0.25">
      <c r="C147" t="b">
        <f>EXACT(B145,B144)</f>
        <v>0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Sheet1</vt:lpstr>
      <vt:lpstr>BAD</vt:lpstr>
      <vt:lpstr>CC</vt:lpstr>
      <vt:lpstr>ORDER</vt:lpstr>
      <vt:lpstr>QTY</vt:lpstr>
      <vt:lpstr>SOLD</vt:lpstr>
      <vt:lpstr>summ</vt:lpstr>
      <vt:lpstr>Test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Desai</dc:creator>
  <cp:lastModifiedBy>Rupesh Desai</cp:lastModifiedBy>
  <dcterms:created xsi:type="dcterms:W3CDTF">2025-07-21T11:32:34Z</dcterms:created>
  <dcterms:modified xsi:type="dcterms:W3CDTF">2025-08-06T12:42:28Z</dcterms:modified>
</cp:coreProperties>
</file>